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GitHub\f1_penalty_predictor\documentation\"/>
    </mc:Choice>
  </mc:AlternateContent>
  <xr:revisionPtr revIDLastSave="0" documentId="13_ncr:1_{2A0C5E8E-F7D7-4EDA-A88E-7FA7119203FC}" xr6:coauthVersionLast="47" xr6:coauthVersionMax="47" xr10:uidLastSave="{00000000-0000-0000-0000-000000000000}"/>
  <bookViews>
    <workbookView xWindow="-108" yWindow="-108" windowWidth="23256" windowHeight="12456" activeTab="1" xr2:uid="{DE7B187D-0900-46B5-9C23-74B527DD2856}"/>
  </bookViews>
  <sheets>
    <sheet name="lookable" sheetId="1" r:id="rId1"/>
    <sheet name="id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2" l="1"/>
  <c r="K3" i="2"/>
  <c r="K4" i="1"/>
  <c r="M4" i="1"/>
</calcChain>
</file>

<file path=xl/sharedStrings.xml><?xml version="1.0" encoding="utf-8"?>
<sst xmlns="http://schemas.openxmlformats.org/spreadsheetml/2006/main" count="187" uniqueCount="70">
  <si>
    <t>F1 DATASET STRUCTURE</t>
  </si>
  <si>
    <t>incident_id</t>
  </si>
  <si>
    <t>race</t>
  </si>
  <si>
    <t>circuit</t>
  </si>
  <si>
    <t>country</t>
  </si>
  <si>
    <t>Circuit info</t>
  </si>
  <si>
    <t>season</t>
  </si>
  <si>
    <t>Season info</t>
  </si>
  <si>
    <t>first_season</t>
  </si>
  <si>
    <t>rounds</t>
  </si>
  <si>
    <t>round</t>
  </si>
  <si>
    <t>num_teams</t>
  </si>
  <si>
    <t>Incident info</t>
  </si>
  <si>
    <t>lap</t>
  </si>
  <si>
    <t>sector</t>
  </si>
  <si>
    <t>session</t>
  </si>
  <si>
    <t>full_laps</t>
  </si>
  <si>
    <t>completion_percentage</t>
  </si>
  <si>
    <t>incident_type</t>
  </si>
  <si>
    <t>collision</t>
  </si>
  <si>
    <t>severity</t>
  </si>
  <si>
    <t>Race context</t>
  </si>
  <si>
    <t>lap_remaining</t>
  </si>
  <si>
    <t>flag</t>
  </si>
  <si>
    <t>safety_car</t>
  </si>
  <si>
    <t>yellow_flag</t>
  </si>
  <si>
    <t>dry</t>
  </si>
  <si>
    <t>track_conditions</t>
  </si>
  <si>
    <t>weather_conditions</t>
  </si>
  <si>
    <t>sunny</t>
  </si>
  <si>
    <t>high</t>
  </si>
  <si>
    <t>positions_of_involved parties</t>
  </si>
  <si>
    <t>7, 8</t>
  </si>
  <si>
    <t>monza</t>
  </si>
  <si>
    <t>italy</t>
  </si>
  <si>
    <t>a001</t>
  </si>
  <si>
    <t>max_verstappen,lewis_hamilton,sergio_perez,valteri_bottas</t>
  </si>
  <si>
    <t>current_top_4_drivers</t>
  </si>
  <si>
    <t>investigation</t>
  </si>
  <si>
    <t>incident_classification</t>
  </si>
  <si>
    <t>*</t>
  </si>
  <si>
    <t>**</t>
  </si>
  <si>
    <t>Involved drivers</t>
  </si>
  <si>
    <t>num_drivers</t>
  </si>
  <si>
    <t>drivers</t>
  </si>
  <si>
    <t>max_verstappen,lewis_hamilton</t>
  </si>
  <si>
    <t>superlicense_points_before_incident</t>
  </si>
  <si>
    <t>0,2</t>
  </si>
  <si>
    <t>nationalities</t>
  </si>
  <si>
    <t>dutch,british</t>
  </si>
  <si>
    <t>respective_teams</t>
  </si>
  <si>
    <t>red_bull,merecedes</t>
  </si>
  <si>
    <t>driver_standings</t>
  </si>
  <si>
    <t>1,2</t>
  </si>
  <si>
    <t>construct_standings</t>
  </si>
  <si>
    <t>2,1</t>
  </si>
  <si>
    <t>construct_points</t>
  </si>
  <si>
    <t>driver_points</t>
  </si>
  <si>
    <t>226.5,221.5</t>
  </si>
  <si>
    <t>344.5,362.5</t>
  </si>
  <si>
    <t>years_in_sport</t>
  </si>
  <si>
    <t>7,15</t>
  </si>
  <si>
    <t>driver_at_fault</t>
  </si>
  <si>
    <t>max_verstappen</t>
  </si>
  <si>
    <t>penalty</t>
  </si>
  <si>
    <t>3_place_grid_drop</t>
  </si>
  <si>
    <t>superlicense_points_added</t>
  </si>
  <si>
    <t>Decision</t>
  </si>
  <si>
    <t>mentioned_article</t>
  </si>
  <si>
    <t>Breach of Article 2 (d) Chapter IV Appendix 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</si>
</sst>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FD934-C1B2-4329-A2AF-5705446F206A}">
  <dimension ref="A1:AN6"/>
  <sheetViews>
    <sheetView zoomScale="40" zoomScaleNormal="40" workbookViewId="0">
      <selection activeCell="AM6" sqref="A6:AM6"/>
    </sheetView>
  </sheetViews>
  <sheetFormatPr defaultRowHeight="14.4" x14ac:dyDescent="0.3"/>
  <cols>
    <col min="1" max="1" width="11.5546875" bestFit="1" customWidth="1"/>
    <col min="2" max="2" width="7.33203125" bestFit="1" customWidth="1"/>
    <col min="3" max="3" width="8.44140625" bestFit="1" customWidth="1"/>
    <col min="4" max="4" width="12.33203125" bestFit="1" customWidth="1"/>
    <col min="5" max="5" width="6.5546875" bestFit="1" customWidth="1"/>
    <col min="6" max="6" width="7.33203125" bestFit="1" customWidth="1"/>
    <col min="7" max="7" width="59.5546875" bestFit="1" customWidth="1"/>
    <col min="8" max="8" width="7.33203125" bestFit="1" customWidth="1"/>
    <col min="9" max="9" width="11.77734375" bestFit="1" customWidth="1"/>
    <col min="10" max="10" width="4" bestFit="1" customWidth="1"/>
    <col min="11" max="11" width="14.33203125" bestFit="1" customWidth="1"/>
    <col min="12" max="12" width="9" bestFit="1" customWidth="1"/>
    <col min="13" max="13" width="23.77734375" bestFit="1" customWidth="1"/>
    <col min="14" max="14" width="7.109375" bestFit="1" customWidth="1"/>
    <col min="15" max="15" width="11.77734375" bestFit="1" customWidth="1"/>
    <col min="16" max="16" width="11.21875" bestFit="1" customWidth="1"/>
    <col min="17" max="17" width="17.109375" bestFit="1" customWidth="1"/>
    <col min="18" max="18" width="19.88671875" bestFit="1" customWidth="1"/>
    <col min="19" max="19" width="7.6640625" bestFit="1" customWidth="1"/>
    <col min="20" max="20" width="14" bestFit="1" customWidth="1"/>
    <col min="21" max="21" width="8.77734375" bestFit="1" customWidth="1"/>
    <col min="22" max="22" width="29" bestFit="1" customWidth="1"/>
    <col min="23" max="23" width="12.6640625" bestFit="1" customWidth="1"/>
    <col min="24" max="24" width="31.77734375" bestFit="1" customWidth="1"/>
    <col min="25" max="25" width="12.88671875" bestFit="1" customWidth="1"/>
    <col min="26" max="26" width="19.88671875" bestFit="1" customWidth="1"/>
    <col min="27" max="27" width="16.77734375" bestFit="1" customWidth="1"/>
    <col min="28" max="28" width="13.44140625" bestFit="1" customWidth="1"/>
    <col min="29" max="29" width="20.44140625" bestFit="1" customWidth="1"/>
    <col min="30" max="30" width="17.109375" bestFit="1" customWidth="1"/>
    <col min="31" max="31" width="15.109375" bestFit="1" customWidth="1"/>
    <col min="32" max="32" width="36.5546875" bestFit="1" customWidth="1"/>
    <col min="33" max="33" width="11.21875" customWidth="1"/>
    <col min="34" max="34" width="13.21875" bestFit="1" customWidth="1"/>
    <col min="35" max="35" width="22.6640625" bestFit="1" customWidth="1"/>
    <col min="36" max="36" width="16.77734375" bestFit="1" customWidth="1"/>
    <col min="37" max="37" width="18.77734375" bestFit="1" customWidth="1"/>
    <col min="38" max="38" width="26.77734375" bestFit="1" customWidth="1"/>
    <col min="39" max="39" width="43.21875" bestFit="1" customWidth="1"/>
  </cols>
  <sheetData>
    <row r="1" spans="1:40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1"/>
    </row>
    <row r="2" spans="1:40" x14ac:dyDescent="0.3">
      <c r="A2" s="1"/>
      <c r="B2" s="3" t="s">
        <v>5</v>
      </c>
      <c r="C2" s="3"/>
      <c r="D2" s="3"/>
      <c r="E2" s="3"/>
      <c r="F2" s="3" t="s">
        <v>7</v>
      </c>
      <c r="G2" s="3"/>
      <c r="H2" s="3"/>
      <c r="I2" s="3"/>
      <c r="J2" s="3" t="s">
        <v>21</v>
      </c>
      <c r="K2" s="3"/>
      <c r="L2" s="3"/>
      <c r="M2" s="3"/>
      <c r="N2" s="3"/>
      <c r="O2" s="3"/>
      <c r="P2" s="3"/>
      <c r="Q2" s="3"/>
      <c r="R2" s="3"/>
      <c r="S2" s="3" t="s">
        <v>12</v>
      </c>
      <c r="T2" s="3"/>
      <c r="U2" s="3"/>
      <c r="V2" s="3"/>
      <c r="W2" s="3" t="s">
        <v>42</v>
      </c>
      <c r="X2" s="3"/>
      <c r="Y2" s="3"/>
      <c r="Z2" s="3"/>
      <c r="AA2" s="3"/>
      <c r="AB2" s="3"/>
      <c r="AC2" s="3"/>
      <c r="AD2" s="3"/>
      <c r="AE2" s="3"/>
      <c r="AF2" s="3"/>
      <c r="AG2" s="1"/>
      <c r="AH2" s="3" t="s">
        <v>67</v>
      </c>
      <c r="AI2" s="3"/>
      <c r="AJ2" s="3"/>
      <c r="AK2" s="3"/>
      <c r="AL2" s="3"/>
      <c r="AM2" s="3"/>
      <c r="AN2" s="1"/>
    </row>
    <row r="3" spans="1:40" x14ac:dyDescent="0.3">
      <c r="A3" s="2" t="s">
        <v>1</v>
      </c>
      <c r="B3" s="2" t="s">
        <v>3</v>
      </c>
      <c r="C3" s="2" t="s">
        <v>4</v>
      </c>
      <c r="D3" s="2" t="s">
        <v>8</v>
      </c>
      <c r="E3" s="2" t="s">
        <v>10</v>
      </c>
      <c r="F3" s="2" t="s">
        <v>6</v>
      </c>
      <c r="G3" s="2" t="s">
        <v>37</v>
      </c>
      <c r="H3" s="2" t="s">
        <v>9</v>
      </c>
      <c r="I3" s="2" t="s">
        <v>11</v>
      </c>
      <c r="J3" s="2" t="s">
        <v>13</v>
      </c>
      <c r="K3" s="2" t="s">
        <v>22</v>
      </c>
      <c r="L3" s="2" t="s">
        <v>16</v>
      </c>
      <c r="M3" s="2" t="s">
        <v>17</v>
      </c>
      <c r="N3" s="2" t="s">
        <v>14</v>
      </c>
      <c r="O3" s="2" t="s">
        <v>23</v>
      </c>
      <c r="P3" s="2" t="s">
        <v>24</v>
      </c>
      <c r="Q3" s="2" t="s">
        <v>27</v>
      </c>
      <c r="R3" s="2" t="s">
        <v>28</v>
      </c>
      <c r="S3" s="2" t="s">
        <v>15</v>
      </c>
      <c r="T3" s="2" t="s">
        <v>18</v>
      </c>
      <c r="U3" s="2" t="s">
        <v>20</v>
      </c>
      <c r="V3" s="2" t="s">
        <v>31</v>
      </c>
      <c r="W3" s="2" t="s">
        <v>43</v>
      </c>
      <c r="X3" s="2" t="s">
        <v>44</v>
      </c>
      <c r="Y3" s="2" t="s">
        <v>48</v>
      </c>
      <c r="Z3" s="2" t="s">
        <v>50</v>
      </c>
      <c r="AA3" s="2" t="s">
        <v>52</v>
      </c>
      <c r="AB3" s="2" t="s">
        <v>57</v>
      </c>
      <c r="AC3" s="2" t="s">
        <v>54</v>
      </c>
      <c r="AD3" s="2" t="s">
        <v>56</v>
      </c>
      <c r="AE3" s="2" t="s">
        <v>60</v>
      </c>
      <c r="AF3" s="2" t="s">
        <v>46</v>
      </c>
      <c r="AG3" s="2"/>
      <c r="AH3" s="2" t="s">
        <v>38</v>
      </c>
      <c r="AI3" s="2" t="s">
        <v>39</v>
      </c>
      <c r="AJ3" s="2" t="s">
        <v>62</v>
      </c>
      <c r="AK3" s="2" t="s">
        <v>64</v>
      </c>
      <c r="AL3" s="2" t="s">
        <v>66</v>
      </c>
      <c r="AM3" s="2" t="s">
        <v>68</v>
      </c>
      <c r="AN3" s="2"/>
    </row>
    <row r="4" spans="1:40" x14ac:dyDescent="0.3">
      <c r="A4" s="2" t="s">
        <v>35</v>
      </c>
      <c r="B4" s="2" t="s">
        <v>33</v>
      </c>
      <c r="C4" s="2" t="s">
        <v>34</v>
      </c>
      <c r="D4" s="2">
        <v>1950</v>
      </c>
      <c r="E4" s="2">
        <v>14</v>
      </c>
      <c r="F4" s="2">
        <v>2021</v>
      </c>
      <c r="G4" s="2" t="s">
        <v>36</v>
      </c>
      <c r="H4" s="2">
        <v>22</v>
      </c>
      <c r="I4" s="2">
        <v>10</v>
      </c>
      <c r="J4" s="2">
        <v>27</v>
      </c>
      <c r="K4" s="2">
        <f>L4-J4</f>
        <v>26</v>
      </c>
      <c r="L4" s="2">
        <v>53</v>
      </c>
      <c r="M4" s="2">
        <f>(J4/L4)*100</f>
        <v>50.943396226415096</v>
      </c>
      <c r="N4" s="2">
        <v>1</v>
      </c>
      <c r="O4" s="2" t="s">
        <v>25</v>
      </c>
      <c r="P4" s="2" t="s">
        <v>24</v>
      </c>
      <c r="Q4" s="2" t="s">
        <v>26</v>
      </c>
      <c r="R4" s="2" t="s">
        <v>29</v>
      </c>
      <c r="S4" s="2" t="s">
        <v>2</v>
      </c>
      <c r="T4" s="2" t="s">
        <v>19</v>
      </c>
      <c r="U4" s="2" t="s">
        <v>30</v>
      </c>
      <c r="V4" s="2" t="s">
        <v>32</v>
      </c>
      <c r="W4" s="2">
        <v>2</v>
      </c>
      <c r="X4" s="2" t="s">
        <v>45</v>
      </c>
      <c r="Y4" s="2" t="s">
        <v>49</v>
      </c>
      <c r="Z4" s="2" t="s">
        <v>51</v>
      </c>
      <c r="AA4" s="2" t="s">
        <v>53</v>
      </c>
      <c r="AB4" s="2" t="s">
        <v>58</v>
      </c>
      <c r="AC4" s="2" t="s">
        <v>55</v>
      </c>
      <c r="AD4" s="2" t="s">
        <v>59</v>
      </c>
      <c r="AE4" s="2" t="s">
        <v>61</v>
      </c>
      <c r="AF4" s="2" t="s">
        <v>47</v>
      </c>
      <c r="AG4" s="2"/>
      <c r="AH4" s="2" t="b">
        <v>1</v>
      </c>
      <c r="AI4" s="2" t="s">
        <v>19</v>
      </c>
      <c r="AJ4" s="2" t="s">
        <v>63</v>
      </c>
      <c r="AK4" s="2" t="s">
        <v>65</v>
      </c>
      <c r="AL4" s="2">
        <v>2</v>
      </c>
      <c r="AM4" s="2" t="s">
        <v>69</v>
      </c>
      <c r="AN4" s="2"/>
    </row>
    <row r="5" spans="1:40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1:40" x14ac:dyDescent="0.3">
      <c r="A6" s="2" t="s">
        <v>40</v>
      </c>
      <c r="B6" s="2" t="s">
        <v>40</v>
      </c>
      <c r="C6" s="2" t="s">
        <v>40</v>
      </c>
      <c r="D6" s="2"/>
      <c r="E6" s="2"/>
      <c r="F6" s="2"/>
      <c r="G6" s="2" t="s">
        <v>41</v>
      </c>
      <c r="H6" s="2"/>
      <c r="I6" s="2"/>
      <c r="J6" s="2"/>
      <c r="K6" s="2"/>
      <c r="L6" s="2"/>
      <c r="M6" s="2"/>
      <c r="N6" s="2"/>
      <c r="O6" s="2" t="s">
        <v>40</v>
      </c>
      <c r="P6" s="2" t="s">
        <v>40</v>
      </c>
      <c r="Q6" s="2" t="s">
        <v>40</v>
      </c>
      <c r="R6" s="2" t="s">
        <v>40</v>
      </c>
      <c r="S6" s="2" t="s">
        <v>40</v>
      </c>
      <c r="T6" s="2" t="s">
        <v>40</v>
      </c>
      <c r="U6" s="2" t="s">
        <v>40</v>
      </c>
      <c r="V6" s="2"/>
      <c r="W6" s="2"/>
      <c r="X6" s="2" t="s">
        <v>41</v>
      </c>
      <c r="Y6" s="2" t="s">
        <v>41</v>
      </c>
      <c r="Z6" s="2" t="s">
        <v>41</v>
      </c>
      <c r="AA6" s="2" t="s">
        <v>41</v>
      </c>
      <c r="AB6" s="2" t="s">
        <v>41</v>
      </c>
      <c r="AC6" s="2" t="s">
        <v>41</v>
      </c>
      <c r="AD6" s="2" t="s">
        <v>41</v>
      </c>
      <c r="AE6" s="2" t="s">
        <v>41</v>
      </c>
      <c r="AF6" s="2" t="s">
        <v>41</v>
      </c>
      <c r="AG6" s="2"/>
      <c r="AH6" s="2"/>
      <c r="AI6" s="2" t="s">
        <v>40</v>
      </c>
      <c r="AJ6" s="2" t="s">
        <v>40</v>
      </c>
      <c r="AK6" s="2" t="s">
        <v>40</v>
      </c>
      <c r="AL6" s="2"/>
      <c r="AM6" s="2" t="s">
        <v>40</v>
      </c>
      <c r="AN6" s="2"/>
    </row>
  </sheetData>
  <mergeCells count="7">
    <mergeCell ref="W2:AF2"/>
    <mergeCell ref="S2:V2"/>
    <mergeCell ref="AH2:AM2"/>
    <mergeCell ref="A1:AM1"/>
    <mergeCell ref="B2:E2"/>
    <mergeCell ref="F2:I2"/>
    <mergeCell ref="J2:R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D3023-539C-4909-99C8-8BF0EE71A5FA}">
  <dimension ref="A1:AM4"/>
  <sheetViews>
    <sheetView tabSelected="1" topLeftCell="O1" workbookViewId="0">
      <selection activeCell="B2" sqref="B2"/>
    </sheetView>
  </sheetViews>
  <sheetFormatPr defaultRowHeight="14.4" x14ac:dyDescent="0.3"/>
  <cols>
    <col min="1" max="1" width="9.88671875" bestFit="1" customWidth="1"/>
    <col min="2" max="2" width="6.44140625" bestFit="1" customWidth="1"/>
    <col min="3" max="3" width="7.21875" bestFit="1" customWidth="1"/>
    <col min="4" max="4" width="10.88671875" bestFit="1" customWidth="1"/>
    <col min="5" max="5" width="5.77734375" bestFit="1" customWidth="1"/>
    <col min="6" max="6" width="6.6640625" bestFit="1" customWidth="1"/>
    <col min="7" max="7" width="50.88671875" bestFit="1" customWidth="1"/>
    <col min="8" max="8" width="6.5546875" bestFit="1" customWidth="1"/>
    <col min="9" max="9" width="10.5546875" bestFit="1" customWidth="1"/>
    <col min="10" max="10" width="3.44140625" bestFit="1" customWidth="1"/>
    <col min="11" max="11" width="12.44140625" bestFit="1" customWidth="1"/>
    <col min="12" max="12" width="7.77734375" bestFit="1" customWidth="1"/>
    <col min="13" max="13" width="20.5546875" bestFit="1" customWidth="1"/>
    <col min="14" max="14" width="6.109375" bestFit="1" customWidth="1"/>
    <col min="15" max="15" width="10.33203125" bestFit="1" customWidth="1"/>
    <col min="16" max="16" width="9.5546875" bestFit="1" customWidth="1"/>
    <col min="17" max="17" width="14.6640625" bestFit="1" customWidth="1"/>
    <col min="18" max="18" width="17.44140625" bestFit="1" customWidth="1"/>
    <col min="19" max="19" width="6.88671875" bestFit="1" customWidth="1"/>
    <col min="20" max="20" width="12" bestFit="1" customWidth="1"/>
    <col min="21" max="21" width="7.33203125" bestFit="1" customWidth="1"/>
    <col min="22" max="22" width="25.21875" bestFit="1" customWidth="1"/>
    <col min="23" max="23" width="11" bestFit="1" customWidth="1"/>
    <col min="24" max="24" width="27.6640625" bestFit="1" customWidth="1"/>
    <col min="25" max="25" width="11" bestFit="1" customWidth="1"/>
    <col min="26" max="26" width="17" bestFit="1" customWidth="1"/>
    <col min="27" max="27" width="14.33203125" bestFit="1" customWidth="1"/>
    <col min="28" max="28" width="11.6640625" bestFit="1" customWidth="1"/>
    <col min="29" max="29" width="17.44140625" bestFit="1" customWidth="1"/>
    <col min="30" max="30" width="14.77734375" bestFit="1" customWidth="1"/>
    <col min="31" max="31" width="13.109375" bestFit="1" customWidth="1"/>
    <col min="32" max="32" width="31.44140625" bestFit="1" customWidth="1"/>
    <col min="34" max="34" width="11.33203125" bestFit="1" customWidth="1"/>
    <col min="35" max="35" width="19.21875" bestFit="1" customWidth="1"/>
    <col min="36" max="36" width="14.5546875" bestFit="1" customWidth="1"/>
    <col min="37" max="37" width="16.21875" bestFit="1" customWidth="1"/>
    <col min="38" max="38" width="23.33203125" bestFit="1" customWidth="1"/>
    <col min="39" max="39" width="37.44140625" bestFit="1" customWidth="1"/>
  </cols>
  <sheetData>
    <row r="1" spans="1:39" x14ac:dyDescent="0.3">
      <c r="A1" s="1"/>
      <c r="B1" s="3" t="s">
        <v>5</v>
      </c>
      <c r="C1" s="3"/>
      <c r="D1" s="3"/>
      <c r="E1" s="3"/>
      <c r="F1" s="3" t="s">
        <v>7</v>
      </c>
      <c r="G1" s="3"/>
      <c r="H1" s="3"/>
      <c r="I1" s="3"/>
      <c r="J1" s="3" t="s">
        <v>21</v>
      </c>
      <c r="K1" s="3"/>
      <c r="L1" s="3"/>
      <c r="M1" s="3"/>
      <c r="N1" s="3"/>
      <c r="O1" s="3"/>
      <c r="P1" s="3"/>
      <c r="Q1" s="3"/>
      <c r="R1" s="3"/>
      <c r="S1" s="3" t="s">
        <v>12</v>
      </c>
      <c r="T1" s="3"/>
      <c r="U1" s="3"/>
      <c r="V1" s="3"/>
      <c r="W1" s="3" t="s">
        <v>42</v>
      </c>
      <c r="X1" s="3"/>
      <c r="Y1" s="3"/>
      <c r="Z1" s="3"/>
      <c r="AA1" s="3"/>
      <c r="AB1" s="3"/>
      <c r="AC1" s="3"/>
      <c r="AD1" s="3"/>
      <c r="AE1" s="3"/>
      <c r="AF1" s="3"/>
      <c r="AG1" s="1"/>
      <c r="AH1" s="3" t="s">
        <v>67</v>
      </c>
      <c r="AI1" s="3"/>
      <c r="AJ1" s="3"/>
      <c r="AK1" s="3"/>
      <c r="AL1" s="3"/>
      <c r="AM1" s="3"/>
    </row>
    <row r="2" spans="1:39" x14ac:dyDescent="0.3">
      <c r="A2" s="2" t="s">
        <v>1</v>
      </c>
      <c r="B2" s="2" t="s">
        <v>3</v>
      </c>
      <c r="C2" s="2" t="s">
        <v>4</v>
      </c>
      <c r="D2" s="2" t="s">
        <v>8</v>
      </c>
      <c r="E2" s="2" t="s">
        <v>10</v>
      </c>
      <c r="F2" s="2" t="s">
        <v>6</v>
      </c>
      <c r="G2" s="2" t="s">
        <v>37</v>
      </c>
      <c r="H2" s="2" t="s">
        <v>9</v>
      </c>
      <c r="I2" s="2" t="s">
        <v>11</v>
      </c>
      <c r="J2" s="2" t="s">
        <v>13</v>
      </c>
      <c r="K2" s="2" t="s">
        <v>22</v>
      </c>
      <c r="L2" s="2" t="s">
        <v>16</v>
      </c>
      <c r="M2" s="2" t="s">
        <v>17</v>
      </c>
      <c r="N2" s="2" t="s">
        <v>14</v>
      </c>
      <c r="O2" s="2" t="s">
        <v>23</v>
      </c>
      <c r="P2" s="2" t="s">
        <v>24</v>
      </c>
      <c r="Q2" s="2" t="s">
        <v>27</v>
      </c>
      <c r="R2" s="2" t="s">
        <v>28</v>
      </c>
      <c r="S2" s="2" t="s">
        <v>15</v>
      </c>
      <c r="T2" s="2" t="s">
        <v>18</v>
      </c>
      <c r="U2" s="2" t="s">
        <v>20</v>
      </c>
      <c r="V2" s="2" t="s">
        <v>31</v>
      </c>
      <c r="W2" s="2" t="s">
        <v>43</v>
      </c>
      <c r="X2" s="2" t="s">
        <v>44</v>
      </c>
      <c r="Y2" s="2" t="s">
        <v>48</v>
      </c>
      <c r="Z2" s="2" t="s">
        <v>50</v>
      </c>
      <c r="AA2" s="2" t="s">
        <v>52</v>
      </c>
      <c r="AB2" s="2" t="s">
        <v>57</v>
      </c>
      <c r="AC2" s="2" t="s">
        <v>54</v>
      </c>
      <c r="AD2" s="2" t="s">
        <v>56</v>
      </c>
      <c r="AE2" s="2" t="s">
        <v>60</v>
      </c>
      <c r="AF2" s="2" t="s">
        <v>46</v>
      </c>
      <c r="AG2" s="2"/>
      <c r="AH2" s="2" t="s">
        <v>38</v>
      </c>
      <c r="AI2" s="2" t="s">
        <v>39</v>
      </c>
      <c r="AJ2" s="2" t="s">
        <v>62</v>
      </c>
      <c r="AK2" s="2" t="s">
        <v>64</v>
      </c>
      <c r="AL2" s="2" t="s">
        <v>66</v>
      </c>
      <c r="AM2" s="2" t="s">
        <v>68</v>
      </c>
    </row>
    <row r="3" spans="1:39" x14ac:dyDescent="0.3">
      <c r="A3" s="2" t="s">
        <v>35</v>
      </c>
      <c r="B3" s="2" t="s">
        <v>33</v>
      </c>
      <c r="C3" s="2" t="s">
        <v>34</v>
      </c>
      <c r="D3" s="2">
        <v>1950</v>
      </c>
      <c r="E3" s="2">
        <v>14</v>
      </c>
      <c r="F3" s="2">
        <v>2021</v>
      </c>
      <c r="G3" s="2" t="s">
        <v>36</v>
      </c>
      <c r="H3" s="2">
        <v>22</v>
      </c>
      <c r="I3" s="2">
        <v>10</v>
      </c>
      <c r="J3" s="2">
        <v>27</v>
      </c>
      <c r="K3" s="2">
        <f>L3-J3</f>
        <v>26</v>
      </c>
      <c r="L3" s="2">
        <v>53</v>
      </c>
      <c r="M3" s="2">
        <f>(J3/L3)*100</f>
        <v>50.943396226415096</v>
      </c>
      <c r="N3" s="2">
        <v>1</v>
      </c>
      <c r="O3" s="2" t="s">
        <v>25</v>
      </c>
      <c r="P3" s="2" t="s">
        <v>24</v>
      </c>
      <c r="Q3" s="2" t="s">
        <v>26</v>
      </c>
      <c r="R3" s="2" t="s">
        <v>29</v>
      </c>
      <c r="S3" s="2" t="s">
        <v>2</v>
      </c>
      <c r="T3" s="2" t="s">
        <v>19</v>
      </c>
      <c r="U3" s="2" t="s">
        <v>30</v>
      </c>
      <c r="V3" s="2" t="s">
        <v>32</v>
      </c>
      <c r="W3" s="2">
        <v>2</v>
      </c>
      <c r="X3" s="2" t="s">
        <v>45</v>
      </c>
      <c r="Y3" s="2" t="s">
        <v>49</v>
      </c>
      <c r="Z3" s="2" t="s">
        <v>51</v>
      </c>
      <c r="AA3" s="2" t="s">
        <v>53</v>
      </c>
      <c r="AB3" s="2" t="s">
        <v>58</v>
      </c>
      <c r="AC3" s="2" t="s">
        <v>55</v>
      </c>
      <c r="AD3" s="2" t="s">
        <v>59</v>
      </c>
      <c r="AE3" s="2" t="s">
        <v>61</v>
      </c>
      <c r="AF3" s="2" t="s">
        <v>47</v>
      </c>
      <c r="AG3" s="2"/>
      <c r="AH3" s="2" t="b">
        <v>1</v>
      </c>
      <c r="AI3" s="2" t="s">
        <v>19</v>
      </c>
      <c r="AJ3" s="2" t="s">
        <v>63</v>
      </c>
      <c r="AK3" s="2" t="s">
        <v>65</v>
      </c>
      <c r="AL3" s="2">
        <v>2</v>
      </c>
      <c r="AM3" s="2" t="s">
        <v>69</v>
      </c>
    </row>
    <row r="4" spans="1:39" x14ac:dyDescent="0.3">
      <c r="A4" s="2" t="s">
        <v>40</v>
      </c>
      <c r="B4" s="2" t="s">
        <v>40</v>
      </c>
      <c r="C4" s="2" t="s">
        <v>40</v>
      </c>
      <c r="D4" s="2"/>
      <c r="E4" s="2"/>
      <c r="F4" s="2"/>
      <c r="G4" s="2" t="s">
        <v>41</v>
      </c>
      <c r="H4" s="2"/>
      <c r="I4" s="2"/>
      <c r="J4" s="2"/>
      <c r="K4" s="2"/>
      <c r="L4" s="2"/>
      <c r="M4" s="2"/>
      <c r="N4" s="2"/>
      <c r="O4" s="2" t="s">
        <v>40</v>
      </c>
      <c r="P4" s="2" t="s">
        <v>40</v>
      </c>
      <c r="Q4" s="2" t="s">
        <v>40</v>
      </c>
      <c r="R4" s="2" t="s">
        <v>40</v>
      </c>
      <c r="S4" s="2" t="s">
        <v>40</v>
      </c>
      <c r="T4" s="2" t="s">
        <v>40</v>
      </c>
      <c r="U4" s="2" t="s">
        <v>40</v>
      </c>
      <c r="V4" s="2"/>
      <c r="W4" s="2"/>
      <c r="X4" s="2" t="s">
        <v>41</v>
      </c>
      <c r="Y4" s="2" t="s">
        <v>41</v>
      </c>
      <c r="Z4" s="2" t="s">
        <v>41</v>
      </c>
      <c r="AA4" s="2" t="s">
        <v>41</v>
      </c>
      <c r="AB4" s="2" t="s">
        <v>41</v>
      </c>
      <c r="AC4" s="2" t="s">
        <v>41</v>
      </c>
      <c r="AD4" s="2" t="s">
        <v>41</v>
      </c>
      <c r="AE4" s="2" t="s">
        <v>41</v>
      </c>
      <c r="AF4" s="2" t="s">
        <v>41</v>
      </c>
      <c r="AG4" s="2"/>
      <c r="AH4" s="2"/>
      <c r="AI4" s="2" t="s">
        <v>40</v>
      </c>
      <c r="AJ4" s="2" t="s">
        <v>40</v>
      </c>
      <c r="AK4" s="2" t="s">
        <v>40</v>
      </c>
      <c r="AL4" s="2"/>
      <c r="AM4" s="2" t="s">
        <v>40</v>
      </c>
    </row>
  </sheetData>
  <mergeCells count="6">
    <mergeCell ref="W1:AF1"/>
    <mergeCell ref="AH1:AM1"/>
    <mergeCell ref="B1:E1"/>
    <mergeCell ref="F1:I1"/>
    <mergeCell ref="J1:R1"/>
    <mergeCell ref="S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lookable</vt:lpstr>
      <vt:lpstr>idk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 ruse</dc:creator>
  <cp:lastModifiedBy>sebas ruse</cp:lastModifiedBy>
  <dcterms:created xsi:type="dcterms:W3CDTF">2026-08-09T08:02:49Z</dcterms:created>
  <dcterms:modified xsi:type="dcterms:W3CDTF">2026-08-16T06:57:12Z</dcterms:modified>
</cp:coreProperties>
</file>